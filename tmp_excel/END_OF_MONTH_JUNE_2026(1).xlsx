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6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J38" i="1"/>
  <c r="J36" i="1"/>
  <c r="J35" i="1"/>
  <c r="J34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33" i="1" l="1"/>
</calcChain>
</file>

<file path=xl/sharedStrings.xml><?xml version="1.0" encoding="utf-8"?>
<sst xmlns="http://schemas.openxmlformats.org/spreadsheetml/2006/main" count="42" uniqueCount="40">
  <si>
    <t xml:space="preserve">PUNGWE BREWERIES AND  MARKETING </t>
  </si>
  <si>
    <t xml:space="preserve">ITEM </t>
  </si>
  <si>
    <t xml:space="preserve">QUANTITY </t>
  </si>
  <si>
    <t>COST PER UNIT</t>
  </si>
  <si>
    <t xml:space="preserve">INVENTORY </t>
  </si>
  <si>
    <t xml:space="preserve">RAW MATERIALS </t>
  </si>
  <si>
    <t>YEAST{ kgs}</t>
  </si>
  <si>
    <t xml:space="preserve">LACTIC ACID (kgs ) </t>
  </si>
  <si>
    <t>SORGHUM MALT { kgs }</t>
  </si>
  <si>
    <t xml:space="preserve">SUGAR kgs  </t>
  </si>
  <si>
    <t>MAIZE MEAL {kgs}</t>
  </si>
  <si>
    <t xml:space="preserve">COAL </t>
  </si>
  <si>
    <t xml:space="preserve">DIESEL FOR  GENERATOR </t>
  </si>
  <si>
    <t xml:space="preserve">FIREWOOD </t>
  </si>
  <si>
    <t xml:space="preserve">FINISHED GOODS </t>
  </si>
  <si>
    <t xml:space="preserve">BULK BEER ltr </t>
  </si>
  <si>
    <t xml:space="preserve">2L PACKAGED BEER </t>
  </si>
  <si>
    <r>
      <rPr>
        <b/>
        <sz val="11"/>
        <color theme="1"/>
        <rFont val="Calibri"/>
        <family val="2"/>
        <scheme val="minor"/>
      </rPr>
      <t>PACKAGING MATERIALS</t>
    </r>
    <r>
      <rPr>
        <sz val="11"/>
        <color theme="1"/>
        <rFont val="Calibri"/>
        <family val="2"/>
        <scheme val="minor"/>
      </rPr>
      <t xml:space="preserve"> </t>
    </r>
  </si>
  <si>
    <t xml:space="preserve">LOOSE BOTTLES </t>
  </si>
  <si>
    <t xml:space="preserve">SHAKE-SHAKE  CLOSURES </t>
  </si>
  <si>
    <t xml:space="preserve">SHAKE-SHAKE SLEEVES </t>
  </si>
  <si>
    <t xml:space="preserve">CRATES IN CIRCULATION </t>
  </si>
  <si>
    <t xml:space="preserve">BOTTLES IN CIRCULATION </t>
  </si>
  <si>
    <t xml:space="preserve">CLOSURES (unit) </t>
  </si>
  <si>
    <r>
      <rPr>
        <b/>
        <sz val="11"/>
        <color theme="1"/>
        <rFont val="Calibri"/>
        <family val="2"/>
        <scheme val="minor"/>
      </rPr>
      <t>BOILER MATERIALS</t>
    </r>
    <r>
      <rPr>
        <sz val="11"/>
        <color theme="1"/>
        <rFont val="Calibri"/>
        <family val="2"/>
        <scheme val="minor"/>
      </rPr>
      <t xml:space="preserve"> </t>
    </r>
  </si>
  <si>
    <t xml:space="preserve">SAFIER SET (kgs ) </t>
  </si>
  <si>
    <t xml:space="preserve">REDCAST </t>
  </si>
  <si>
    <r>
      <rPr>
        <b/>
        <sz val="11"/>
        <color theme="1"/>
        <rFont val="Calibri"/>
        <family val="2"/>
        <scheme val="minor"/>
      </rPr>
      <t>CLEANING MATERIALS</t>
    </r>
    <r>
      <rPr>
        <sz val="11"/>
        <color theme="1"/>
        <rFont val="Calibri"/>
        <family val="2"/>
        <scheme val="minor"/>
      </rPr>
      <t xml:space="preserve"> </t>
    </r>
  </si>
  <si>
    <t>BIOCHEMELL (ltrs)</t>
  </si>
  <si>
    <t>CHEMELL 160(ltrs)</t>
  </si>
  <si>
    <t xml:space="preserve">BACTERGENT (kgs ) </t>
  </si>
  <si>
    <t>FLOOR CLEANER( kgs )</t>
  </si>
  <si>
    <t xml:space="preserve">ONLINE DESCALENT </t>
  </si>
  <si>
    <t>TOTAL</t>
  </si>
  <si>
    <t xml:space="preserve">DAMAGED BOTTLES </t>
  </si>
  <si>
    <t>DAMAGED CRATES</t>
  </si>
  <si>
    <t xml:space="preserve">TOTAL </t>
  </si>
  <si>
    <t xml:space="preserve"> </t>
  </si>
  <si>
    <t xml:space="preserve">JUNE 2026 END OF MONTH  STOCK  SUMMARY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</si>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</sst>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Rounded MT Bold"/>
      <family val="2"/>
    </font>
    <font>
      <sz val="11"/>
      <color theme="1"/>
      <name val="Bahnschrift SemiCondensed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1" xfId="0" applyFont="1" applyBorder="1"/>
    <xf numFmtId="165" fontId="2" fillId="0" borderId="1" xfId="0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  <xf numFmtId="0" fontId="4" fillId="0" borderId="1" xfId="0" applyFont="1" applyBorder="1"/>
    <xf numFmtId="165" fontId="4" fillId="0" borderId="2" xfId="0" applyNumberFormat="1" applyFont="1" applyBorder="1"/>
    <xf numFmtId="164" fontId="4" fillId="0" borderId="1" xfId="0" applyNumberFormat="1" applyFont="1" applyBorder="1"/>
    <xf numFmtId="0" fontId="1" fillId="0" borderId="1" xfId="0" applyFont="1" applyBorder="1"/>
    <xf numFmtId="165" fontId="0" fillId="0" borderId="2" xfId="0" applyNumberFormat="1" applyBorder="1"/>
    <xf numFmtId="164" fontId="1" fillId="0" borderId="1" xfId="0" applyNumberFormat="1" applyFon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0"/>
  <sheetViews>
    <sheetView tabSelected="1" topLeftCell="A20" workbookViewId="0">
      <selection activeCell="J35" sqref="J35"/>
    </sheetView>
  </sheetViews>
  <sheetFormatPr defaultRowHeight="14.5" x14ac:dyDescent="0.35"/>
  <cols>
    <col min="4" max="4" width="4.54296875" customWidth="1"/>
    <col min="5" max="5" width="22.7265625" bestFit="1" customWidth="1"/>
    <col min="6" max="6" width="23.54296875" customWidth="1"/>
    <col min="7" max="8" width="20.1796875" customWidth="1"/>
    <col min="9" max="9" width="19.453125" customWidth="1"/>
    <col min="10" max="10" width="24.453125" customWidth="1"/>
  </cols>
  <sheetData>
    <row r="2" spans="3:10" x14ac:dyDescent="0.35">
      <c r="I2" s="1"/>
      <c r="J2" s="2"/>
    </row>
    <row r="3" spans="3:10" ht="17.5" x14ac:dyDescent="0.35">
      <c r="E3" s="3"/>
      <c r="F3" s="4" t="s">
        <v>0</v>
      </c>
      <c r="G3" s="4"/>
      <c r="H3" s="4"/>
      <c r="I3" s="5"/>
      <c r="J3" s="6"/>
    </row>
    <row r="4" spans="3:10" x14ac:dyDescent="0.35">
      <c r="E4" s="3"/>
      <c r="F4" s="3"/>
      <c r="G4" s="3"/>
      <c r="H4" s="3"/>
      <c r="I4" s="7"/>
      <c r="J4" s="6"/>
    </row>
    <row r="5" spans="3:10" x14ac:dyDescent="0.35">
      <c r="E5" s="3"/>
      <c r="F5" s="8" t="s">
        <v>38</v>
      </c>
      <c r="G5" s="3"/>
      <c r="H5" s="3"/>
      <c r="I5" s="7"/>
      <c r="J5" s="6"/>
    </row>
    <row r="6" spans="3:10" x14ac:dyDescent="0.35">
      <c r="E6" s="9"/>
      <c r="F6" s="9" t="s">
        <v>1</v>
      </c>
      <c r="G6" s="9" t="s">
        <v>2</v>
      </c>
      <c r="H6" s="9"/>
      <c r="I6" s="10" t="s">
        <v>3</v>
      </c>
      <c r="J6" s="11" t="s">
        <v>4</v>
      </c>
    </row>
    <row r="7" spans="3:10" x14ac:dyDescent="0.35">
      <c r="E7" s="12" t="s">
        <v>5</v>
      </c>
      <c r="F7" s="3" t="s">
        <v>6</v>
      </c>
      <c r="G7" s="3">
        <v>6</v>
      </c>
      <c r="H7" s="3"/>
      <c r="I7" s="13">
        <v>7.6660000000000004</v>
      </c>
      <c r="J7" s="6">
        <f>I7*G7</f>
        <v>45.996000000000002</v>
      </c>
    </row>
    <row r="8" spans="3:10" x14ac:dyDescent="0.35">
      <c r="E8" s="3"/>
      <c r="F8" s="3" t="s">
        <v>7</v>
      </c>
      <c r="G8" s="3">
        <v>22</v>
      </c>
      <c r="H8" s="3"/>
      <c r="I8" s="13">
        <v>3.71</v>
      </c>
      <c r="J8" s="6">
        <f>I8*G8</f>
        <v>81.62</v>
      </c>
    </row>
    <row r="9" spans="3:10" x14ac:dyDescent="0.35">
      <c r="E9" s="3"/>
      <c r="F9" s="3" t="s">
        <v>8</v>
      </c>
      <c r="G9" s="3">
        <v>740</v>
      </c>
      <c r="H9" s="3"/>
      <c r="I9" s="13">
        <v>1.26</v>
      </c>
      <c r="J9" s="6">
        <f>I9*G9</f>
        <v>932.4</v>
      </c>
    </row>
    <row r="10" spans="3:10" x14ac:dyDescent="0.35">
      <c r="E10" s="3"/>
      <c r="F10" s="3" t="s">
        <v>9</v>
      </c>
      <c r="G10" s="3">
        <v>0</v>
      </c>
      <c r="H10" s="3"/>
      <c r="I10" s="13">
        <v>1.25</v>
      </c>
      <c r="J10" s="6">
        <f>I10*G10</f>
        <v>0</v>
      </c>
    </row>
    <row r="11" spans="3:10" x14ac:dyDescent="0.35">
      <c r="E11" s="3"/>
      <c r="F11" s="3" t="s">
        <v>10</v>
      </c>
      <c r="G11" s="3">
        <v>19203</v>
      </c>
      <c r="H11" s="3"/>
      <c r="I11" s="13">
        <v>0.35</v>
      </c>
      <c r="J11" s="6">
        <f>I11*G11</f>
        <v>6721.0499999999993</v>
      </c>
    </row>
    <row r="12" spans="3:10" x14ac:dyDescent="0.35">
      <c r="E12" s="3"/>
      <c r="F12" s="3" t="s">
        <v>11</v>
      </c>
      <c r="G12" s="3">
        <v>10340</v>
      </c>
      <c r="H12" s="3"/>
      <c r="I12" s="13">
        <v>0.14000000000000001</v>
      </c>
      <c r="J12" s="6">
        <f t="shared" ref="J12:J39" si="0">I12*G12</f>
        <v>1447.6000000000001</v>
      </c>
    </row>
    <row r="13" spans="3:10" x14ac:dyDescent="0.35">
      <c r="E13" s="3"/>
      <c r="F13" s="3" t="s">
        <v>12</v>
      </c>
      <c r="G13" s="3">
        <v>50</v>
      </c>
      <c r="H13" s="3"/>
      <c r="I13" s="13">
        <v>1.9</v>
      </c>
      <c r="J13" s="6">
        <f t="shared" si="0"/>
        <v>95</v>
      </c>
    </row>
    <row r="14" spans="3:10" x14ac:dyDescent="0.35">
      <c r="E14" s="3"/>
      <c r="F14" s="3" t="s">
        <v>13</v>
      </c>
      <c r="G14" s="3">
        <v>4000</v>
      </c>
      <c r="H14" s="3"/>
      <c r="I14" s="13">
        <v>0.05</v>
      </c>
      <c r="J14" s="6">
        <f t="shared" si="0"/>
        <v>200</v>
      </c>
    </row>
    <row r="15" spans="3:10" x14ac:dyDescent="0.35">
      <c r="E15" s="3"/>
      <c r="F15" s="3"/>
      <c r="G15" s="3"/>
      <c r="H15" s="3"/>
      <c r="I15" s="13"/>
      <c r="J15" s="6">
        <f t="shared" si="0"/>
        <v>0</v>
      </c>
    </row>
    <row r="16" spans="3:10" x14ac:dyDescent="0.35">
      <c r="C16" t="s">
        <v>37</v>
      </c>
      <c r="E16" s="12" t="s">
        <v>14</v>
      </c>
      <c r="F16" s="3" t="s">
        <v>15</v>
      </c>
      <c r="G16" s="3">
        <v>19084</v>
      </c>
      <c r="H16" s="3"/>
      <c r="I16" s="13">
        <v>0.15</v>
      </c>
      <c r="J16" s="6">
        <f t="shared" si="0"/>
        <v>2862.6</v>
      </c>
    </row>
    <row r="17" spans="5:10" x14ac:dyDescent="0.35">
      <c r="E17" s="3"/>
      <c r="F17" s="3" t="s">
        <v>16</v>
      </c>
      <c r="G17" s="3">
        <v>515</v>
      </c>
      <c r="H17" s="3"/>
      <c r="I17" s="13">
        <v>3.8</v>
      </c>
      <c r="J17" s="6">
        <f>I17*G17</f>
        <v>1957</v>
      </c>
    </row>
    <row r="18" spans="5:10" x14ac:dyDescent="0.35">
      <c r="E18" s="3"/>
      <c r="F18" s="3"/>
      <c r="G18" s="3"/>
      <c r="H18" s="3"/>
      <c r="I18" s="13"/>
      <c r="J18" s="6"/>
    </row>
    <row r="19" spans="5:10" x14ac:dyDescent="0.35">
      <c r="E19" s="3" t="s">
        <v>17</v>
      </c>
      <c r="F19" s="3" t="s">
        <v>18</v>
      </c>
      <c r="G19" s="3">
        <v>750</v>
      </c>
      <c r="H19" s="3"/>
      <c r="I19" s="13">
        <v>0.52</v>
      </c>
      <c r="J19" s="6">
        <f t="shared" ref="J19" si="1">I19*G19</f>
        <v>390</v>
      </c>
    </row>
    <row r="20" spans="5:10" x14ac:dyDescent="0.35">
      <c r="E20" s="3"/>
      <c r="F20" s="3" t="s">
        <v>19</v>
      </c>
      <c r="G20" s="3">
        <v>0</v>
      </c>
      <c r="H20" s="3"/>
      <c r="I20" s="13">
        <v>0</v>
      </c>
      <c r="J20" s="6">
        <f t="shared" si="0"/>
        <v>0</v>
      </c>
    </row>
    <row r="21" spans="5:10" x14ac:dyDescent="0.35">
      <c r="E21" s="3"/>
      <c r="F21" s="3" t="s">
        <v>20</v>
      </c>
      <c r="G21" s="3">
        <v>10150</v>
      </c>
      <c r="H21" s="3"/>
      <c r="I21" s="13">
        <v>0.15</v>
      </c>
      <c r="J21" s="6">
        <f t="shared" si="0"/>
        <v>1522.5</v>
      </c>
    </row>
    <row r="22" spans="5:10" x14ac:dyDescent="0.35">
      <c r="E22" s="3"/>
      <c r="F22" s="3" t="s">
        <v>21</v>
      </c>
      <c r="G22" s="3">
        <v>1618</v>
      </c>
      <c r="H22" s="3"/>
      <c r="I22" s="13">
        <v>7.52</v>
      </c>
      <c r="J22" s="6">
        <f t="shared" si="0"/>
        <v>12167.359999999999</v>
      </c>
    </row>
    <row r="23" spans="5:10" x14ac:dyDescent="0.35">
      <c r="E23" s="3"/>
      <c r="F23" s="3" t="s">
        <v>22</v>
      </c>
      <c r="G23" s="3">
        <v>9708</v>
      </c>
      <c r="H23" s="3"/>
      <c r="I23" s="13">
        <v>0.52</v>
      </c>
      <c r="J23" s="6">
        <f t="shared" si="0"/>
        <v>5048.16</v>
      </c>
    </row>
    <row r="24" spans="5:10" x14ac:dyDescent="0.35">
      <c r="E24" s="3"/>
      <c r="F24" s="3" t="s">
        <v>23</v>
      </c>
      <c r="G24" s="3">
        <v>6000</v>
      </c>
      <c r="H24" s="3"/>
      <c r="I24" s="13">
        <v>0.06</v>
      </c>
      <c r="J24" s="6">
        <f t="shared" si="0"/>
        <v>360</v>
      </c>
    </row>
    <row r="25" spans="5:10" x14ac:dyDescent="0.35">
      <c r="E25" s="3"/>
      <c r="F25" s="3"/>
      <c r="G25" s="3"/>
      <c r="H25" s="3"/>
      <c r="I25" s="13"/>
      <c r="J25" s="6">
        <f t="shared" si="0"/>
        <v>0</v>
      </c>
    </row>
    <row r="26" spans="5:10" x14ac:dyDescent="0.35">
      <c r="E26" s="3" t="s">
        <v>24</v>
      </c>
      <c r="F26" s="3" t="s">
        <v>25</v>
      </c>
      <c r="G26" s="3">
        <v>0</v>
      </c>
      <c r="H26" s="3"/>
      <c r="I26" s="13">
        <v>1</v>
      </c>
      <c r="J26" s="6">
        <f t="shared" si="0"/>
        <v>0</v>
      </c>
    </row>
    <row r="27" spans="5:10" x14ac:dyDescent="0.35">
      <c r="E27" s="3"/>
      <c r="F27" s="3" t="s">
        <v>26</v>
      </c>
      <c r="G27" s="3">
        <v>25</v>
      </c>
      <c r="H27" s="3"/>
      <c r="I27" s="13">
        <v>1.2</v>
      </c>
      <c r="J27" s="6">
        <f t="shared" si="0"/>
        <v>30</v>
      </c>
    </row>
    <row r="28" spans="5:10" x14ac:dyDescent="0.35">
      <c r="E28" s="3" t="s">
        <v>27</v>
      </c>
      <c r="F28" s="3" t="s">
        <v>28</v>
      </c>
      <c r="G28" s="3">
        <v>34</v>
      </c>
      <c r="H28" s="3"/>
      <c r="I28" s="13">
        <v>3</v>
      </c>
      <c r="J28" s="6">
        <f t="shared" si="0"/>
        <v>102</v>
      </c>
    </row>
    <row r="29" spans="5:10" x14ac:dyDescent="0.35">
      <c r="E29" s="3"/>
      <c r="F29" s="3" t="s">
        <v>29</v>
      </c>
      <c r="G29" s="3">
        <v>24</v>
      </c>
      <c r="H29" s="3"/>
      <c r="I29" s="13">
        <v>3</v>
      </c>
      <c r="J29" s="6">
        <f t="shared" si="0"/>
        <v>72</v>
      </c>
    </row>
    <row r="30" spans="5:10" x14ac:dyDescent="0.35">
      <c r="E30" s="3"/>
      <c r="F30" s="3" t="s">
        <v>30</v>
      </c>
      <c r="G30" s="3">
        <v>50.4</v>
      </c>
      <c r="H30" s="3"/>
      <c r="I30" s="13">
        <v>2.4</v>
      </c>
      <c r="J30" s="6">
        <f t="shared" si="0"/>
        <v>120.96</v>
      </c>
    </row>
    <row r="31" spans="5:10" x14ac:dyDescent="0.35">
      <c r="E31" s="3"/>
      <c r="F31" s="3" t="s">
        <v>31</v>
      </c>
      <c r="G31" s="3">
        <v>38.799999999999997</v>
      </c>
      <c r="H31" s="3"/>
      <c r="I31" s="13">
        <v>2.6</v>
      </c>
      <c r="J31" s="6">
        <f t="shared" si="0"/>
        <v>100.88</v>
      </c>
    </row>
    <row r="32" spans="5:10" x14ac:dyDescent="0.35">
      <c r="E32" s="3"/>
      <c r="F32" s="3" t="s">
        <v>32</v>
      </c>
      <c r="G32" s="3">
        <v>30</v>
      </c>
      <c r="H32" s="3"/>
      <c r="I32" s="13">
        <v>3.2</v>
      </c>
      <c r="J32" s="6">
        <f t="shared" si="0"/>
        <v>96</v>
      </c>
    </row>
    <row r="33" spans="1:10" x14ac:dyDescent="0.35">
      <c r="E33" s="3"/>
      <c r="F33" s="3" t="s">
        <v>33</v>
      </c>
      <c r="G33" s="3"/>
      <c r="H33" s="3"/>
      <c r="I33" s="13"/>
      <c r="J33" s="14">
        <f>SUM(J7:J32)</f>
        <v>34353.125999999989</v>
      </c>
    </row>
    <row r="34" spans="1:10" x14ac:dyDescent="0.35">
      <c r="E34" s="3"/>
      <c r="F34" s="3"/>
      <c r="G34" s="3"/>
      <c r="H34" s="3"/>
      <c r="I34" s="13"/>
      <c r="J34" s="6">
        <f t="shared" si="0"/>
        <v>0</v>
      </c>
    </row>
    <row r="35" spans="1:10" x14ac:dyDescent="0.35">
      <c r="E35" s="3"/>
      <c r="F35" s="3" t="s">
        <v>34</v>
      </c>
      <c r="G35" s="3">
        <v>870</v>
      </c>
      <c r="H35" s="3"/>
      <c r="I35" s="13">
        <v>0.52</v>
      </c>
      <c r="J35" s="6">
        <f t="shared" si="0"/>
        <v>452.40000000000003</v>
      </c>
    </row>
    <row r="36" spans="1:10" x14ac:dyDescent="0.35">
      <c r="E36" s="3"/>
      <c r="F36" s="3" t="s">
        <v>35</v>
      </c>
      <c r="G36" s="3">
        <v>54</v>
      </c>
      <c r="H36" s="3"/>
      <c r="I36" s="13">
        <v>7.52</v>
      </c>
      <c r="J36" s="6">
        <f t="shared" si="0"/>
        <v>406.08</v>
      </c>
    </row>
    <row r="37" spans="1:10" x14ac:dyDescent="0.35">
      <c r="E37" s="15"/>
      <c r="F37" s="3" t="s">
        <v>36</v>
      </c>
      <c r="G37" s="3" t="s">
        <v>37</v>
      </c>
      <c r="H37" s="3"/>
      <c r="I37" s="13"/>
      <c r="J37" s="6">
        <v>0</v>
      </c>
    </row>
    <row r="38" spans="1:10" x14ac:dyDescent="0.35">
      <c r="F38" s="16"/>
      <c r="G38" s="3"/>
      <c r="H38" s="3"/>
      <c r="I38" s="13"/>
      <c r="J38" s="6">
        <f t="shared" si="0"/>
        <v>0</v>
      </c>
    </row>
    <row r="39" spans="1:10" x14ac:dyDescent="0.35">
      <c r="F39" s="16"/>
      <c r="G39" s="3"/>
      <c r="H39" s="3"/>
      <c r="I39" s="13"/>
      <c r="J39" s="6">
        <f t="shared" si="0"/>
        <v>0</v>
      </c>
    </row>
    <row r="40" spans="1:10" x14ac:dyDescent="0.35">
      <c r="A40" t="s">
        <v>39</v>
      </c>
      <c r="J40" t="s">
        <v>37</v>
      </c>
    </row>
  </sheetData>
  <pageMargins left="0.7" right="0.7" top="0.75" bottom="0.75" header="0.3" footer="0.3"/>
  <pageSetup paperSize="9" scale="8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Tendai Mushonga</dc:creator>
  <cp:lastModifiedBy>hp</cp:lastModifiedBy>
  <cp:lastPrinted>2026-07-07T12:51:22Z</cp:lastPrinted>
  <dcterms:created xsi:type="dcterms:W3CDTF">2026-07-01T15:11:37Z</dcterms:created>
  <dcterms:modified xsi:type="dcterms:W3CDTF">2026-09-30T07:40:04Z</dcterms:modified>
</cp:coreProperties>
</file>