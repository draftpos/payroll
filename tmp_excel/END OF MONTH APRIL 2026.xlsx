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5B63AA1E6D1207/Desktop/"/>
    </mc:Choice>
  </mc:AlternateContent>
  <xr:revisionPtr revIDLastSave="55" documentId="8_{542426BE-6867-4096-AA18-71248518B3EB}" xr6:coauthVersionLast="47" xr6:coauthVersionMax="47" xr10:uidLastSave="{8A3867A9-A720-4D1B-B7A5-AA12028A3D7A}"/>
  <bookViews>
    <workbookView xWindow="-120" yWindow="-120" windowWidth="20730" windowHeight="11040" xr2:uid="{B1C01F0B-44BF-4A59-9294-0BC818251E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0" i="1"/>
  <c r="H6" i="1"/>
  <c r="H9" i="1"/>
  <c r="H8" i="1"/>
  <c r="H7" i="1"/>
  <c r="H11" i="1"/>
  <c r="H12" i="1"/>
  <c r="H13" i="1"/>
  <c r="H14" i="1"/>
  <c r="H15" i="1"/>
  <c r="H16" i="1"/>
  <c r="H19" i="1"/>
  <c r="H20" i="1"/>
</calcChain>
</file>

<file path=xl/sharedStrings.xml><?xml version="1.0" encoding="utf-8"?>
<sst xmlns="http://schemas.openxmlformats.org/spreadsheetml/2006/main" count="40" uniqueCount="40">
  <si>
    <t xml:space="preserve">PUNGWE BREWERIES AND  MARKETING </t>
  </si>
  <si>
    <t xml:space="preserve">ITEM </t>
  </si>
  <si>
    <t xml:space="preserve">QUANTITY </t>
  </si>
  <si>
    <t xml:space="preserve">INVENTORY </t>
  </si>
  <si>
    <t xml:space="preserve">RAW MATERIALS </t>
  </si>
  <si>
    <t xml:space="preserve">FINISHED GOODS </t>
  </si>
  <si>
    <t xml:space="preserve">LACTIC ACID (kgs ) </t>
  </si>
  <si>
    <t>YEAST{ kgs}</t>
  </si>
  <si>
    <t>SORGHUM MALT { kgs }</t>
  </si>
  <si>
    <t xml:space="preserve">SUGAR kgs  </t>
  </si>
  <si>
    <t>MAIZE MEAL {kgs}</t>
  </si>
  <si>
    <t xml:space="preserve">COAL </t>
  </si>
  <si>
    <t xml:space="preserve">DIESEL FOR  GENERATOR </t>
  </si>
  <si>
    <t xml:space="preserve">FIREWOOD </t>
  </si>
  <si>
    <t xml:space="preserve">BULK BEER ltr </t>
  </si>
  <si>
    <t xml:space="preserve">2L PACKAGED BEER </t>
  </si>
  <si>
    <t xml:space="preserve">LOOSE BOTTLES </t>
  </si>
  <si>
    <t xml:space="preserve">SHAKE-SHAKE  CLOSURES </t>
  </si>
  <si>
    <t xml:space="preserve">SHAKE-SHAKE SLEEVES </t>
  </si>
  <si>
    <t xml:space="preserve">CRATES IN CIRCULATION </t>
  </si>
  <si>
    <t xml:space="preserve">BOTTLES IN CIRCULATION </t>
  </si>
  <si>
    <t xml:space="preserve">CLOSURES (unit) </t>
  </si>
  <si>
    <t xml:space="preserve">SAFIER SET (kgs ) </t>
  </si>
  <si>
    <t xml:space="preserve">REDCAST </t>
  </si>
  <si>
    <t>BIOCHEMELL (ltrs)</t>
  </si>
  <si>
    <t>CHEMELL 160(ltrs)</t>
  </si>
  <si>
    <t xml:space="preserve">BACTERGENT (kgs ) </t>
  </si>
  <si>
    <t>FLOOR CLEANER( kgs )</t>
  </si>
  <si>
    <t xml:space="preserve">ONLINE DESCALENT </t>
  </si>
  <si>
    <t>TOTAL</t>
  </si>
  <si>
    <t xml:space="preserve">DAMAGED BOTTLES </t>
  </si>
  <si>
    <t>DAMAGED CRATES</t>
  </si>
  <si>
    <t xml:space="preserve">TOTAL </t>
  </si>
  <si>
    <t>COST PER UNIT</t>
  </si>
  <si>
    <r>
      <rPr>
        <b/>
        <sz val="11"/>
        <color theme="1"/>
        <rFont val="Calibri"/>
        <family val="2"/>
        <scheme val="minor"/>
      </rPr>
      <t>PACKAGING MATERIALS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</si>
  <si>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BOILER MATERIALS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</si>
  <si>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CLEANING MATERIALS</t>
    </r>
    <r>
      <rPr>
        <sz val="11"/>
        <color theme="1"/>
        <rFont val="Calibri"/>
        <family val="2"/>
        <scheme val="minor"/>
      </rPr>
      <t xml:space="preserve"> </t>
    </r>
  </si>
  <si>
    <t xml:space="preserve"> </t>
  </si>
  <si>
    <t xml:space="preserve">  </t>
  </si>
  <si>
    <t xml:space="preserve">MAY 2026 END OF MONTH  STOCK  SUMMARY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</si>
</sst>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rial Rounded MT Bold"/>
      <family val="2"/>
    </font>
    <font>
      <sz val="11"/>
      <color theme="1"/>
      <name val="Bahnschrift SemiCondensed"/>
      <family val="2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1" xfId="0" applyFont="1" applyBorder="1"/>
    <xf numFmtId="0" fontId="4" fillId="0" borderId="2" xfId="0" applyFont="1" applyBorder="1"/>
    <xf numFmtId="0" fontId="4" fillId="0" borderId="0" xfId="0" applyFont="1"/>
    <xf numFmtId="0" fontId="1" fillId="0" borderId="1" xfId="0" applyFont="1" applyBorder="1"/>
    <xf numFmtId="0" fontId="0" fillId="0" borderId="4" xfId="0" applyBorder="1"/>
    <xf numFmtId="0" fontId="0" fillId="0" borderId="3" xfId="0" applyBorder="1"/>
    <xf numFmtId="8" fontId="0" fillId="0" borderId="2" xfId="0" applyNumberFormat="1" applyBorder="1"/>
    <xf numFmtId="6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68B43-086B-4757-932A-BE6C5959E247}">
  <dimension ref="C2:I40"/>
  <sheetViews>
    <sheetView tabSelected="1" workbookViewId="0">
      <selection activeCell="G11" sqref="G11"/>
    </sheetView>
  </sheetViews>
  <sheetFormatPr defaultRowHeight="15" x14ac:dyDescent="0.25"/>
  <cols>
    <col min="2" max="2" width="9.140625" customWidth="1"/>
    <col min="3" max="3" width="23" customWidth="1"/>
    <col min="4" max="4" width="31.5703125" customWidth="1"/>
    <col min="5" max="5" width="29.28515625" customWidth="1"/>
    <col min="6" max="6" width="0.140625" customWidth="1"/>
    <col min="7" max="7" width="27.5703125" customWidth="1"/>
    <col min="8" max="8" width="19.140625" customWidth="1"/>
  </cols>
  <sheetData>
    <row r="2" spans="3:9" ht="18" x14ac:dyDescent="0.25">
      <c r="C2" s="1"/>
      <c r="D2" s="2" t="s">
        <v>0</v>
      </c>
      <c r="E2" s="2"/>
      <c r="F2" s="2"/>
      <c r="G2" s="2"/>
      <c r="H2" s="1"/>
    </row>
    <row r="3" spans="3:9" x14ac:dyDescent="0.25">
      <c r="C3" s="1"/>
      <c r="D3" s="1"/>
      <c r="E3" s="1"/>
      <c r="F3" s="1"/>
      <c r="G3" s="1"/>
      <c r="H3" s="1"/>
    </row>
    <row r="4" spans="3:9" x14ac:dyDescent="0.25">
      <c r="C4" s="1"/>
      <c r="D4" s="3" t="s">
        <v>39</v>
      </c>
      <c r="E4" s="1"/>
      <c r="F4" s="1"/>
      <c r="G4" s="1"/>
      <c r="H4" s="1"/>
    </row>
    <row r="5" spans="3:9" s="7" customFormat="1" ht="14.25" x14ac:dyDescent="0.2">
      <c r="C5" s="5"/>
      <c r="D5" s="5" t="s">
        <v>1</v>
      </c>
      <c r="E5" s="5" t="s">
        <v>2</v>
      </c>
      <c r="F5" s="5"/>
      <c r="G5" s="6" t="s">
        <v>33</v>
      </c>
      <c r="H5" s="5" t="s">
        <v>3</v>
      </c>
    </row>
    <row r="6" spans="3:9" x14ac:dyDescent="0.25">
      <c r="C6" s="8" t="s">
        <v>4</v>
      </c>
      <c r="D6" s="1" t="s">
        <v>7</v>
      </c>
      <c r="E6" s="1">
        <v>11</v>
      </c>
      <c r="F6" s="1"/>
      <c r="G6" s="11">
        <v>7.6660000000000004</v>
      </c>
      <c r="H6" s="1">
        <f>G6*E6</f>
        <v>84.326000000000008</v>
      </c>
      <c r="I6" t="s">
        <v>38</v>
      </c>
    </row>
    <row r="7" spans="3:9" x14ac:dyDescent="0.25">
      <c r="C7" s="1"/>
      <c r="D7" s="1" t="s">
        <v>6</v>
      </c>
      <c r="E7" s="1">
        <v>71</v>
      </c>
      <c r="F7" s="1"/>
      <c r="G7" s="11">
        <v>3.71</v>
      </c>
      <c r="H7" s="1">
        <f>G7*E7</f>
        <v>263.41000000000003</v>
      </c>
    </row>
    <row r="8" spans="3:9" x14ac:dyDescent="0.25">
      <c r="C8" s="1"/>
      <c r="D8" s="1" t="s">
        <v>8</v>
      </c>
      <c r="E8" s="1">
        <v>3080</v>
      </c>
      <c r="F8" s="1"/>
      <c r="G8" s="11">
        <v>1.26</v>
      </c>
      <c r="H8" s="1">
        <f>G8*E8</f>
        <v>3880.8</v>
      </c>
    </row>
    <row r="9" spans="3:9" x14ac:dyDescent="0.25">
      <c r="C9" s="1"/>
      <c r="D9" s="1" t="s">
        <v>9</v>
      </c>
      <c r="E9" s="1">
        <v>20</v>
      </c>
      <c r="F9" s="1"/>
      <c r="G9" s="11">
        <v>1.25</v>
      </c>
      <c r="H9" s="1">
        <f>G9*E9</f>
        <v>25</v>
      </c>
    </row>
    <row r="10" spans="3:9" x14ac:dyDescent="0.25">
      <c r="C10" s="1"/>
      <c r="D10" s="1" t="s">
        <v>10</v>
      </c>
      <c r="E10" s="1">
        <v>12409.2</v>
      </c>
      <c r="F10" s="1"/>
      <c r="G10" s="11">
        <v>0.35</v>
      </c>
      <c r="H10" s="1">
        <f>G10*E10</f>
        <v>4343.22</v>
      </c>
    </row>
    <row r="11" spans="3:9" x14ac:dyDescent="0.25">
      <c r="C11" s="1"/>
      <c r="D11" s="1" t="s">
        <v>11</v>
      </c>
      <c r="E11" s="1">
        <v>10340</v>
      </c>
      <c r="F11" s="1"/>
      <c r="G11" s="11">
        <v>0.14000000000000001</v>
      </c>
      <c r="H11" s="1">
        <f t="shared" ref="H11:H38" si="0">G11*E11</f>
        <v>1447.6000000000001</v>
      </c>
    </row>
    <row r="12" spans="3:9" x14ac:dyDescent="0.25">
      <c r="C12" s="1"/>
      <c r="D12" s="1" t="s">
        <v>12</v>
      </c>
      <c r="E12" s="1">
        <v>50</v>
      </c>
      <c r="F12" s="1"/>
      <c r="G12" s="11">
        <v>1.35</v>
      </c>
      <c r="H12" s="1">
        <f t="shared" si="0"/>
        <v>67.5</v>
      </c>
    </row>
    <row r="13" spans="3:9" x14ac:dyDescent="0.25">
      <c r="C13" s="1"/>
      <c r="D13" s="1" t="s">
        <v>13</v>
      </c>
      <c r="E13" s="1">
        <v>2000</v>
      </c>
      <c r="F13" s="1"/>
      <c r="G13" s="11">
        <v>0.05</v>
      </c>
      <c r="H13" s="1">
        <f t="shared" si="0"/>
        <v>100</v>
      </c>
    </row>
    <row r="14" spans="3:9" x14ac:dyDescent="0.25">
      <c r="C14" s="1"/>
      <c r="D14" s="1"/>
      <c r="E14" s="1"/>
      <c r="F14" s="1"/>
      <c r="G14" s="4"/>
      <c r="H14" s="1">
        <f t="shared" si="0"/>
        <v>0</v>
      </c>
    </row>
    <row r="15" spans="3:9" x14ac:dyDescent="0.25">
      <c r="C15" s="8" t="s">
        <v>5</v>
      </c>
      <c r="D15" s="1" t="s">
        <v>14</v>
      </c>
      <c r="E15" s="1">
        <v>17187</v>
      </c>
      <c r="F15" s="1"/>
      <c r="G15" s="4">
        <v>0.15</v>
      </c>
      <c r="H15" s="1">
        <f t="shared" si="0"/>
        <v>2578.0499999999997</v>
      </c>
    </row>
    <row r="16" spans="3:9" x14ac:dyDescent="0.25">
      <c r="C16" s="1"/>
      <c r="D16" s="1" t="s">
        <v>15</v>
      </c>
      <c r="E16" s="1">
        <v>11580</v>
      </c>
      <c r="F16" s="1"/>
      <c r="G16" s="11">
        <v>3.6</v>
      </c>
      <c r="H16" s="1">
        <f t="shared" si="0"/>
        <v>41688</v>
      </c>
    </row>
    <row r="17" spans="3:8" x14ac:dyDescent="0.25">
      <c r="C17" s="1"/>
      <c r="D17" s="1"/>
      <c r="E17" s="1"/>
      <c r="F17" s="1"/>
      <c r="G17" s="4"/>
      <c r="H17" s="1"/>
    </row>
    <row r="18" spans="3:8" x14ac:dyDescent="0.25">
      <c r="C18" s="1" t="s">
        <v>34</v>
      </c>
      <c r="D18" s="1" t="s">
        <v>16</v>
      </c>
      <c r="E18" s="1">
        <v>750</v>
      </c>
      <c r="F18" s="1"/>
      <c r="G18" s="4"/>
      <c r="H18" s="1"/>
    </row>
    <row r="19" spans="3:8" x14ac:dyDescent="0.25">
      <c r="C19" s="1"/>
      <c r="D19" s="1" t="s">
        <v>17</v>
      </c>
      <c r="E19" s="1">
        <v>0</v>
      </c>
      <c r="F19" s="1"/>
      <c r="G19" s="11">
        <v>0.52</v>
      </c>
      <c r="H19" s="1">
        <f t="shared" si="0"/>
        <v>0</v>
      </c>
    </row>
    <row r="20" spans="3:8" x14ac:dyDescent="0.25">
      <c r="C20" s="1"/>
      <c r="D20" s="1" t="s">
        <v>18</v>
      </c>
      <c r="E20" s="1">
        <v>10150</v>
      </c>
      <c r="F20" s="1"/>
      <c r="G20" s="4">
        <v>0.15</v>
      </c>
      <c r="H20" s="1">
        <f t="shared" si="0"/>
        <v>1522.5</v>
      </c>
    </row>
    <row r="21" spans="3:8" x14ac:dyDescent="0.25">
      <c r="C21" s="1"/>
      <c r="D21" s="1" t="s">
        <v>19</v>
      </c>
      <c r="E21" s="1">
        <v>925</v>
      </c>
      <c r="F21" s="1"/>
      <c r="G21" s="4"/>
      <c r="H21" s="1">
        <f t="shared" si="0"/>
        <v>0</v>
      </c>
    </row>
    <row r="22" spans="3:8" x14ac:dyDescent="0.25">
      <c r="C22" s="1"/>
      <c r="D22" s="1" t="s">
        <v>20</v>
      </c>
      <c r="E22" s="1"/>
      <c r="F22" s="1"/>
      <c r="G22" s="4"/>
      <c r="H22" s="1">
        <f t="shared" si="0"/>
        <v>0</v>
      </c>
    </row>
    <row r="23" spans="3:8" x14ac:dyDescent="0.25">
      <c r="C23" s="1"/>
      <c r="D23" s="1" t="s">
        <v>21</v>
      </c>
      <c r="E23" s="1">
        <v>33000</v>
      </c>
      <c r="F23" s="1"/>
      <c r="G23" s="11">
        <v>0.06</v>
      </c>
      <c r="H23" s="1">
        <f t="shared" si="0"/>
        <v>1980</v>
      </c>
    </row>
    <row r="24" spans="3:8" x14ac:dyDescent="0.25">
      <c r="C24" s="1"/>
      <c r="D24" s="1"/>
      <c r="E24" s="1"/>
      <c r="F24" s="1"/>
      <c r="G24" s="4"/>
      <c r="H24" s="1">
        <f t="shared" si="0"/>
        <v>0</v>
      </c>
    </row>
    <row r="25" spans="3:8" x14ac:dyDescent="0.25">
      <c r="C25" s="1" t="s">
        <v>35</v>
      </c>
      <c r="D25" s="1" t="s">
        <v>22</v>
      </c>
      <c r="E25" s="1">
        <v>30</v>
      </c>
      <c r="F25" s="1"/>
      <c r="G25" s="12">
        <v>1</v>
      </c>
      <c r="H25" s="1">
        <f t="shared" si="0"/>
        <v>30</v>
      </c>
    </row>
    <row r="26" spans="3:8" x14ac:dyDescent="0.25">
      <c r="C26" s="1"/>
      <c r="D26" s="1" t="s">
        <v>23</v>
      </c>
      <c r="E26" s="1">
        <v>28</v>
      </c>
      <c r="F26" s="1"/>
      <c r="G26" s="11">
        <v>1.2</v>
      </c>
      <c r="H26" s="1">
        <f t="shared" si="0"/>
        <v>33.6</v>
      </c>
    </row>
    <row r="27" spans="3:8" x14ac:dyDescent="0.25">
      <c r="C27" s="1" t="s">
        <v>36</v>
      </c>
      <c r="D27" s="1" t="s">
        <v>24</v>
      </c>
      <c r="E27" s="1">
        <v>30</v>
      </c>
      <c r="F27" s="1"/>
      <c r="G27" s="12">
        <v>3</v>
      </c>
      <c r="H27" s="1">
        <f t="shared" si="0"/>
        <v>90</v>
      </c>
    </row>
    <row r="28" spans="3:8" x14ac:dyDescent="0.25">
      <c r="C28" s="1"/>
      <c r="D28" s="1" t="s">
        <v>25</v>
      </c>
      <c r="E28" s="1">
        <v>8</v>
      </c>
      <c r="F28" s="1"/>
      <c r="G28" s="12">
        <v>3</v>
      </c>
      <c r="H28" s="1">
        <f t="shared" si="0"/>
        <v>24</v>
      </c>
    </row>
    <row r="29" spans="3:8" x14ac:dyDescent="0.25">
      <c r="C29" s="1"/>
      <c r="D29" s="1" t="s">
        <v>26</v>
      </c>
      <c r="E29" s="1">
        <v>105</v>
      </c>
      <c r="F29" s="1"/>
      <c r="G29" s="11">
        <v>2.4</v>
      </c>
      <c r="H29" s="1">
        <f t="shared" si="0"/>
        <v>252</v>
      </c>
    </row>
    <row r="30" spans="3:8" x14ac:dyDescent="0.25">
      <c r="C30" s="1"/>
      <c r="D30" s="1" t="s">
        <v>27</v>
      </c>
      <c r="E30" s="1">
        <v>25</v>
      </c>
      <c r="F30" s="1"/>
      <c r="G30" s="11">
        <v>2.6</v>
      </c>
      <c r="H30" s="1">
        <f t="shared" si="0"/>
        <v>65</v>
      </c>
    </row>
    <row r="31" spans="3:8" x14ac:dyDescent="0.25">
      <c r="C31" s="1"/>
      <c r="D31" s="1" t="s">
        <v>28</v>
      </c>
      <c r="E31" s="1">
        <v>12</v>
      </c>
      <c r="F31" s="1"/>
      <c r="G31" s="11">
        <v>3.2</v>
      </c>
      <c r="H31" s="1">
        <f t="shared" si="0"/>
        <v>38.400000000000006</v>
      </c>
    </row>
    <row r="32" spans="3:8" x14ac:dyDescent="0.25">
      <c r="C32" s="1"/>
      <c r="D32" s="1" t="s">
        <v>29</v>
      </c>
      <c r="E32" s="1"/>
      <c r="F32" s="1"/>
      <c r="G32" s="4"/>
      <c r="H32" s="1">
        <f t="shared" si="0"/>
        <v>0</v>
      </c>
    </row>
    <row r="33" spans="3:8" x14ac:dyDescent="0.25">
      <c r="C33" s="1"/>
      <c r="D33" s="1"/>
      <c r="E33" s="1"/>
      <c r="F33" s="1"/>
      <c r="G33" s="4"/>
      <c r="H33" s="1">
        <f t="shared" si="0"/>
        <v>0</v>
      </c>
    </row>
    <row r="34" spans="3:8" x14ac:dyDescent="0.25">
      <c r="C34" s="1"/>
      <c r="D34" s="1" t="s">
        <v>30</v>
      </c>
      <c r="E34" s="1"/>
      <c r="F34" s="1"/>
      <c r="G34" s="11">
        <v>0.52</v>
      </c>
      <c r="H34" s="1">
        <f t="shared" si="0"/>
        <v>0</v>
      </c>
    </row>
    <row r="35" spans="3:8" x14ac:dyDescent="0.25">
      <c r="C35" s="1"/>
      <c r="D35" s="1" t="s">
        <v>31</v>
      </c>
      <c r="E35" s="1"/>
      <c r="F35" s="1"/>
      <c r="G35" s="11">
        <v>8</v>
      </c>
      <c r="H35" s="1">
        <f t="shared" si="0"/>
        <v>0</v>
      </c>
    </row>
    <row r="36" spans="3:8" x14ac:dyDescent="0.25">
      <c r="C36" s="10"/>
      <c r="D36" s="1" t="s">
        <v>32</v>
      </c>
      <c r="E36" s="1"/>
      <c r="F36" s="1"/>
      <c r="G36" s="4"/>
      <c r="H36" s="1">
        <f t="shared" si="0"/>
        <v>0</v>
      </c>
    </row>
    <row r="37" spans="3:8" x14ac:dyDescent="0.25">
      <c r="D37" s="9"/>
      <c r="E37" s="1"/>
      <c r="F37" s="1"/>
      <c r="G37" s="4"/>
      <c r="H37" s="1">
        <f t="shared" si="0"/>
        <v>0</v>
      </c>
    </row>
    <row r="38" spans="3:8" x14ac:dyDescent="0.25">
      <c r="D38" s="9"/>
      <c r="E38" s="1"/>
      <c r="F38" s="1"/>
      <c r="G38" s="4"/>
      <c r="H38" s="1">
        <f t="shared" si="0"/>
        <v>0</v>
      </c>
    </row>
    <row r="40" spans="3:8" x14ac:dyDescent="0.25">
      <c r="E4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Tendai Mushonga</dc:creator>
  <cp:lastModifiedBy>Tendai Mushonga</cp:lastModifiedBy>
  <dcterms:created xsi:type="dcterms:W3CDTF">2026-05-07T09:09:59Z</dcterms:created>
  <dcterms:modified xsi:type="dcterms:W3CDTF">2026-06-01T11:14:18Z</dcterms:modified>
</cp:coreProperties>
</file>