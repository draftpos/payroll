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YEAR 2026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G34" i="1"/>
  <c r="E30" i="1" l="1"/>
  <c r="E12" i="1"/>
  <c r="E34" i="1" l="1"/>
  <c r="E33" i="1"/>
  <c r="E29" i="1"/>
  <c r="E28" i="1"/>
  <c r="E27" i="1"/>
  <c r="E26" i="1"/>
  <c r="E25" i="1"/>
  <c r="E24" i="1"/>
  <c r="E22" i="1"/>
  <c r="E21" i="1"/>
  <c r="E20" i="1"/>
  <c r="E19" i="1"/>
  <c r="E18" i="1"/>
  <c r="E17" i="1"/>
  <c r="E15" i="1"/>
  <c r="E14" i="1"/>
  <c r="E11" i="1"/>
  <c r="E10" i="1"/>
  <c r="E9" i="1"/>
  <c r="E8" i="1"/>
  <c r="E7" i="1"/>
  <c r="E6" i="1"/>
  <c r="E5" i="1"/>
  <c r="E35" i="1" l="1"/>
  <c r="E31" i="1"/>
</calcChain>
</file>

<file path=xl/sharedStrings.xml><?xml version="1.0" encoding="utf-8"?>
<sst xmlns="http://schemas.openxmlformats.org/spreadsheetml/2006/main" count="38" uniqueCount="38">
  <si>
    <t xml:space="preserve">PUNGWE BREWERIES AND MARKETING </t>
  </si>
  <si>
    <t>ITEM</t>
  </si>
  <si>
    <t xml:space="preserve">QUANTITY </t>
  </si>
  <si>
    <t xml:space="preserve">COST PER UNIT </t>
  </si>
  <si>
    <t xml:space="preserve">INVENTORY </t>
  </si>
  <si>
    <t xml:space="preserve">RAW MATERIALS </t>
  </si>
  <si>
    <t>YEAST (kgs)</t>
  </si>
  <si>
    <t>LACTIC ACID (kgs)</t>
  </si>
  <si>
    <t>SORGHUM MALT (kgs )</t>
  </si>
  <si>
    <t>SUGAR (kgs)</t>
  </si>
  <si>
    <t>MAIZE MEAL (kgs )</t>
  </si>
  <si>
    <t>COAL</t>
  </si>
  <si>
    <t xml:space="preserve">DIESEL FOR GENERATOR </t>
  </si>
  <si>
    <t xml:space="preserve">FINISHED GOODS </t>
  </si>
  <si>
    <t>BULK BEER (ltr)</t>
  </si>
  <si>
    <t>2L PACKAGED BEER</t>
  </si>
  <si>
    <t xml:space="preserve">PACKAGING MATERIALS </t>
  </si>
  <si>
    <t xml:space="preserve">LOOSE BOTTLES </t>
  </si>
  <si>
    <t xml:space="preserve">SHAKE-SHAKE CLOSURES </t>
  </si>
  <si>
    <t>SHAKE-SHAKE SLEEVES</t>
  </si>
  <si>
    <t xml:space="preserve">CRATES IN CIRCULATION </t>
  </si>
  <si>
    <t>BOTTLES IN CIRCULATION</t>
  </si>
  <si>
    <t>CLOSURES (unit )</t>
  </si>
  <si>
    <t xml:space="preserve">BOILER MATERIALS </t>
  </si>
  <si>
    <t>SAFIER SET (kgs)</t>
  </si>
  <si>
    <t xml:space="preserve">CLEANING MATERIALS </t>
  </si>
  <si>
    <t>BIOCHEMELL(ltrs)</t>
  </si>
  <si>
    <t>CHEMELL 160 (ltrs)</t>
  </si>
  <si>
    <t>BACTERGENT (kgs)</t>
  </si>
  <si>
    <t>FLOOR CLEANER (kgs)</t>
  </si>
  <si>
    <t>TOTAL</t>
  </si>
  <si>
    <t xml:space="preserve">DAMAGED BOTTLES </t>
  </si>
  <si>
    <t xml:space="preserve">DAMAGED CRATES </t>
  </si>
  <si>
    <t xml:space="preserve">TOTAL </t>
  </si>
  <si>
    <t xml:space="preserve">FEBRUARY 2026 END OF MONTH STOCK SUMMARY </t>
  </si>
  <si>
    <t xml:space="preserve">FIREWOOD </t>
  </si>
  <si>
    <t>REDCAST</t>
  </si>
  <si>
    <t xml:space="preserve">ONLINE DESCALENT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</si>
</sst>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-[$US$-3009]* #,##0.00_-;\-[$US$-3009]* #,##0.00_-;_-[$US$-30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44" fontId="0" fillId="0" borderId="1" xfId="1" applyFont="1" applyBorder="1"/>
    <xf numFmtId="44" fontId="3" fillId="0" borderId="1" xfId="1" applyFont="1" applyBorder="1"/>
    <xf numFmtId="1" fontId="3" fillId="0" borderId="1" xfId="1" applyNumberFormat="1" applyFont="1" applyBorder="1"/>
    <xf numFmtId="164" fontId="0" fillId="0" borderId="1" xfId="1" applyNumberFormat="1" applyFont="1" applyBorder="1"/>
    <xf numFmtId="44" fontId="0" fillId="2" borderId="1" xfId="1" applyFont="1" applyFill="1" applyBorder="1"/>
    <xf numFmtId="44" fontId="0" fillId="0" borderId="0" xfId="1" applyFont="1"/>
    <xf numFmtId="1" fontId="0" fillId="0" borderId="1" xfId="1" applyNumberFormat="1" applyFont="1" applyBorder="1"/>
    <xf numFmtId="44" fontId="2" fillId="0" borderId="1" xfId="1" applyFont="1" applyBorder="1"/>
    <xf numFmtId="1" fontId="2" fillId="0" borderId="1" xfId="1" applyNumberFormat="1" applyFont="1" applyBorder="1"/>
    <xf numFmtId="44" fontId="0" fillId="0" borderId="2" xfId="1" applyFont="1" applyBorder="1"/>
    <xf numFmtId="44" fontId="2" fillId="0" borderId="3" xfId="1" applyFont="1" applyBorder="1"/>
    <xf numFmtId="1" fontId="2" fillId="0" borderId="4" xfId="1" applyNumberFormat="1" applyFont="1" applyBorder="1"/>
    <xf numFmtId="164" fontId="2" fillId="0" borderId="5" xfId="1" applyNumberFormat="1" applyFont="1" applyBorder="1"/>
    <xf numFmtId="44" fontId="2" fillId="2" borderId="6" xfId="1" applyFont="1" applyFill="1" applyBorder="1"/>
    <xf numFmtId="44" fontId="2" fillId="0" borderId="7" xfId="1" applyFont="1" applyBorder="1"/>
    <xf numFmtId="1" fontId="2" fillId="0" borderId="7" xfId="1" applyNumberFormat="1" applyFont="1" applyBorder="1"/>
    <xf numFmtId="164" fontId="2" fillId="0" borderId="7" xfId="1" applyNumberFormat="1" applyFont="1" applyBorder="1"/>
    <xf numFmtId="44" fontId="0" fillId="2" borderId="7" xfId="1" applyFont="1" applyFill="1" applyBorder="1"/>
    <xf numFmtId="12" fontId="0" fillId="0" borderId="0" xfId="1" applyNumberFormat="1" applyFont="1"/>
    <xf numFmtId="164" fontId="2" fillId="0" borderId="1" xfId="1" applyNumberFormat="1" applyFont="1" applyBorder="1"/>
    <xf numFmtId="44" fontId="2" fillId="0" borderId="8" xfId="1" applyFont="1" applyBorder="1"/>
    <xf numFmtId="1" fontId="2" fillId="0" borderId="8" xfId="1" applyNumberFormat="1" applyFont="1" applyBorder="1"/>
    <xf numFmtId="164" fontId="2" fillId="0" borderId="8" xfId="1" applyNumberFormat="1" applyFont="1" applyBorder="1"/>
    <xf numFmtId="44" fontId="0" fillId="2" borderId="8" xfId="1" applyFont="1" applyFill="1" applyBorder="1"/>
    <xf numFmtId="44" fontId="0" fillId="0" borderId="8" xfId="1" applyFont="1" applyBorder="1"/>
    <xf numFmtId="44" fontId="0" fillId="2" borderId="2" xfId="1" applyFont="1" applyFill="1" applyBorder="1"/>
    <xf numFmtId="0" fontId="0" fillId="0" borderId="0" xfId="0" applyBorder="1"/>
    <xf numFmtId="0" fontId="0" fillId="0" borderId="1" xfId="0" applyBorder="1"/>
    <xf numFmtId="44" fontId="2" fillId="0" borderId="9" xfId="1" applyFont="1" applyBorder="1"/>
    <xf numFmtId="44" fontId="0" fillId="0" borderId="0" xfId="1" applyFont="1" applyBorder="1"/>
    <xf numFmtId="1" fontId="2" fillId="0" borderId="9" xfId="1" applyNumberFormat="1" applyFont="1" applyBorder="1"/>
    <xf numFmtId="164" fontId="2" fillId="0" borderId="9" xfId="1" applyNumberFormat="1" applyFont="1" applyBorder="1"/>
    <xf numFmtId="44" fontId="2" fillId="0" borderId="10" xfId="1" applyFont="1" applyBorder="1"/>
    <xf numFmtId="44" fontId="2" fillId="0" borderId="11" xfId="1" applyFont="1" applyBorder="1"/>
    <xf numFmtId="1" fontId="2" fillId="0" borderId="12" xfId="1" applyNumberFormat="1" applyFont="1" applyBorder="1"/>
    <xf numFmtId="164" fontId="2" fillId="0" borderId="12" xfId="1" applyNumberFormat="1" applyFont="1" applyBorder="1"/>
    <xf numFmtId="44" fontId="2" fillId="2" borderId="13" xfId="1" applyFont="1" applyFill="1" applyBorder="1"/>
    <xf numFmtId="44" fontId="2" fillId="0" borderId="0" xfId="1" applyFont="1"/>
    <xf numFmtId="1" fontId="2" fillId="0" borderId="0" xfId="1" applyNumberFormat="1" applyFont="1"/>
    <xf numFmtId="164" fontId="2" fillId="0" borderId="0" xfId="1" applyNumberFormat="1" applyFont="1"/>
    <xf numFmtId="164" fontId="0" fillId="0" borderId="0" xfId="1" applyNumberFormat="1" applyFont="1"/>
    <xf numFmtId="44" fontId="0" fillId="0" borderId="3" xfId="1" applyFont="1" applyBorder="1"/>
    <xf numFmtId="1" fontId="0" fillId="0" borderId="4" xfId="1" applyNumberFormat="1" applyFont="1" applyBorder="1"/>
    <xf numFmtId="164" fontId="0" fillId="0" borderId="4" xfId="1" applyNumberFormat="1" applyFont="1" applyBorder="1"/>
    <xf numFmtId="44" fontId="2" fillId="0" borderId="5" xfId="1" applyFont="1" applyBorder="1"/>
    <xf numFmtId="1" fontId="0" fillId="0" borderId="0" xfId="1" applyNumberFormat="1" applyFont="1"/>
    <xf numFmtId="164" fontId="0" fillId="0" borderId="0" xfId="0" applyNumberFormat="1"/>
    <xf numFmtId="44" fontId="0" fillId="0" borderId="10" xfId="1" applyFont="1" applyBorder="1"/>
    <xf numFmtId="44" fontId="2" fillId="0" borderId="14" xfId="1" applyFont="1" applyBorder="1"/>
    <xf numFmtId="44" fontId="0" fillId="2" borderId="10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tabSelected="1" workbookViewId="0">
      <selection activeCell="C9" sqref="C9"/>
    </sheetView>
  </sheetViews>
  <sheetFormatPr defaultRowHeight="15" x14ac:dyDescent="0.25"/>
  <cols>
    <col min="1" max="1" width="23.7109375" customWidth="1"/>
    <col min="2" max="2" width="31.140625" customWidth="1"/>
    <col min="3" max="3" width="24.85546875" customWidth="1"/>
    <col min="4" max="4" width="28.140625" style="47" customWidth="1"/>
    <col min="5" max="5" width="26.140625" customWidth="1"/>
    <col min="6" max="6" width="14" bestFit="1" customWidth="1"/>
  </cols>
  <sheetData>
    <row r="1" spans="1:6" ht="18.75" x14ac:dyDescent="0.3">
      <c r="A1" s="1"/>
      <c r="B1" s="2" t="s">
        <v>0</v>
      </c>
      <c r="C1" s="3"/>
      <c r="D1" s="4"/>
      <c r="E1" s="5"/>
      <c r="F1" s="6"/>
    </row>
    <row r="2" spans="1:6" x14ac:dyDescent="0.25">
      <c r="A2" s="1"/>
      <c r="B2" s="1"/>
      <c r="C2" s="7"/>
      <c r="D2" s="4"/>
      <c r="E2" s="5"/>
      <c r="F2" s="6"/>
    </row>
    <row r="3" spans="1:6" ht="15.75" thickBot="1" x14ac:dyDescent="0.3">
      <c r="A3" s="1"/>
      <c r="B3" s="8" t="s">
        <v>34</v>
      </c>
      <c r="C3" s="9"/>
      <c r="D3" s="4"/>
      <c r="E3" s="5"/>
      <c r="F3" s="6"/>
    </row>
    <row r="4" spans="1:6" ht="15.75" thickBot="1" x14ac:dyDescent="0.3">
      <c r="A4" s="10"/>
      <c r="B4" s="11" t="s">
        <v>1</v>
      </c>
      <c r="C4" s="12" t="s">
        <v>2</v>
      </c>
      <c r="D4" s="13" t="s">
        <v>3</v>
      </c>
      <c r="E4" s="14" t="s">
        <v>4</v>
      </c>
      <c r="F4" s="6"/>
    </row>
    <row r="5" spans="1:6" x14ac:dyDescent="0.25">
      <c r="A5" s="8" t="s">
        <v>5</v>
      </c>
      <c r="B5" s="15" t="s">
        <v>6</v>
      </c>
      <c r="C5" s="16">
        <v>36</v>
      </c>
      <c r="D5" s="17">
        <v>7.29</v>
      </c>
      <c r="E5" s="18">
        <f>C5*D5</f>
        <v>262.44</v>
      </c>
      <c r="F5" s="19"/>
    </row>
    <row r="6" spans="1:6" x14ac:dyDescent="0.25">
      <c r="A6" s="1"/>
      <c r="B6" s="8" t="s">
        <v>7</v>
      </c>
      <c r="C6" s="9">
        <v>17</v>
      </c>
      <c r="D6" s="20">
        <v>4.12</v>
      </c>
      <c r="E6" s="18">
        <f t="shared" ref="E6:E24" si="0">C6*D6</f>
        <v>70.040000000000006</v>
      </c>
      <c r="F6" s="6"/>
    </row>
    <row r="7" spans="1:6" x14ac:dyDescent="0.25">
      <c r="A7" s="1"/>
      <c r="B7" s="8" t="s">
        <v>8</v>
      </c>
      <c r="C7" s="9">
        <v>4960</v>
      </c>
      <c r="D7" s="20">
        <v>1.21</v>
      </c>
      <c r="E7" s="18">
        <f t="shared" si="0"/>
        <v>6001.5999999999995</v>
      </c>
      <c r="F7" s="6"/>
    </row>
    <row r="8" spans="1:6" x14ac:dyDescent="0.25">
      <c r="A8" s="1"/>
      <c r="B8" s="8" t="s">
        <v>9</v>
      </c>
      <c r="C8" s="9">
        <v>120</v>
      </c>
      <c r="D8" s="20">
        <v>1.25</v>
      </c>
      <c r="E8" s="18">
        <f t="shared" si="0"/>
        <v>150</v>
      </c>
      <c r="F8" s="6"/>
    </row>
    <row r="9" spans="1:6" x14ac:dyDescent="0.25">
      <c r="A9" s="1"/>
      <c r="B9" s="8" t="s">
        <v>10</v>
      </c>
      <c r="C9" s="9">
        <v>697</v>
      </c>
      <c r="D9" s="20">
        <v>0.35</v>
      </c>
      <c r="E9" s="18">
        <f t="shared" si="0"/>
        <v>243.95</v>
      </c>
      <c r="F9" s="6"/>
    </row>
    <row r="10" spans="1:6" x14ac:dyDescent="0.25">
      <c r="A10" s="1"/>
      <c r="B10" s="8" t="s">
        <v>11</v>
      </c>
      <c r="C10" s="9">
        <v>10340</v>
      </c>
      <c r="D10" s="20">
        <v>0.14000000000000001</v>
      </c>
      <c r="E10" s="18">
        <f>C10*D10</f>
        <v>1447.6000000000001</v>
      </c>
      <c r="F10" s="6"/>
    </row>
    <row r="11" spans="1:6" x14ac:dyDescent="0.25">
      <c r="A11" s="1"/>
      <c r="B11" s="8" t="s">
        <v>12</v>
      </c>
      <c r="C11" s="9">
        <v>80</v>
      </c>
      <c r="D11" s="20">
        <v>1.35</v>
      </c>
      <c r="E11" s="18">
        <f>C11*D11</f>
        <v>108</v>
      </c>
      <c r="F11" s="6"/>
    </row>
    <row r="12" spans="1:6" x14ac:dyDescent="0.25">
      <c r="A12" s="1"/>
      <c r="B12" s="8" t="s">
        <v>35</v>
      </c>
      <c r="C12" s="9">
        <v>4000</v>
      </c>
      <c r="D12" s="20">
        <v>5.3499999999999999E-2</v>
      </c>
      <c r="E12" s="18">
        <f>C12*D12</f>
        <v>214</v>
      </c>
      <c r="F12" s="6"/>
    </row>
    <row r="13" spans="1:6" x14ac:dyDescent="0.25">
      <c r="A13" s="1"/>
      <c r="B13" s="8"/>
      <c r="C13" s="9"/>
      <c r="D13" s="20"/>
      <c r="E13" s="18"/>
      <c r="F13" s="6"/>
    </row>
    <row r="14" spans="1:6" x14ac:dyDescent="0.25">
      <c r="A14" s="8" t="s">
        <v>13</v>
      </c>
      <c r="B14" s="8" t="s">
        <v>14</v>
      </c>
      <c r="C14" s="9">
        <v>3294</v>
      </c>
      <c r="D14" s="20">
        <v>0.15</v>
      </c>
      <c r="E14" s="18">
        <f t="shared" si="0"/>
        <v>494.09999999999997</v>
      </c>
      <c r="F14" s="6"/>
    </row>
    <row r="15" spans="1:6" x14ac:dyDescent="0.25">
      <c r="A15" s="1"/>
      <c r="B15" s="8" t="s">
        <v>15</v>
      </c>
      <c r="C15" s="9">
        <v>917</v>
      </c>
      <c r="D15" s="20">
        <v>3.8</v>
      </c>
      <c r="E15" s="18">
        <f t="shared" si="0"/>
        <v>3484.6</v>
      </c>
      <c r="F15" s="6"/>
    </row>
    <row r="16" spans="1:6" x14ac:dyDescent="0.25">
      <c r="A16" s="1"/>
      <c r="B16" s="8"/>
      <c r="C16" s="9"/>
      <c r="D16" s="20"/>
      <c r="E16" s="18"/>
      <c r="F16" s="6"/>
    </row>
    <row r="17" spans="1:17" x14ac:dyDescent="0.25">
      <c r="A17" s="8" t="s">
        <v>16</v>
      </c>
      <c r="B17" s="8" t="s">
        <v>17</v>
      </c>
      <c r="C17" s="9">
        <v>2400</v>
      </c>
      <c r="D17" s="20">
        <v>0.52</v>
      </c>
      <c r="E17" s="18">
        <f t="shared" si="0"/>
        <v>1248</v>
      </c>
      <c r="F17" s="19"/>
    </row>
    <row r="18" spans="1:17" x14ac:dyDescent="0.25">
      <c r="A18" s="8"/>
      <c r="B18" s="8" t="s">
        <v>18</v>
      </c>
      <c r="C18" s="9">
        <v>0</v>
      </c>
      <c r="D18" s="20">
        <v>0.02</v>
      </c>
      <c r="E18" s="18">
        <f t="shared" si="0"/>
        <v>0</v>
      </c>
      <c r="F18" s="19"/>
    </row>
    <row r="19" spans="1:17" x14ac:dyDescent="0.25">
      <c r="A19" s="8"/>
      <c r="B19" s="8" t="s">
        <v>19</v>
      </c>
      <c r="C19" s="9">
        <v>10150</v>
      </c>
      <c r="D19" s="20">
        <v>0.15</v>
      </c>
      <c r="E19" s="18">
        <f t="shared" si="0"/>
        <v>1522.5</v>
      </c>
      <c r="F19" s="6"/>
    </row>
    <row r="20" spans="1:17" x14ac:dyDescent="0.25">
      <c r="A20" s="8"/>
      <c r="B20" s="21" t="s">
        <v>20</v>
      </c>
      <c r="C20" s="22">
        <v>1770</v>
      </c>
      <c r="D20" s="23">
        <v>7.52</v>
      </c>
      <c r="E20" s="24">
        <f>C20*D20</f>
        <v>13310.4</v>
      </c>
      <c r="F20" s="6"/>
    </row>
    <row r="21" spans="1:17" x14ac:dyDescent="0.25">
      <c r="A21" s="8"/>
      <c r="B21" s="8" t="s">
        <v>21</v>
      </c>
      <c r="C21" s="9">
        <f>1770*6</f>
        <v>10620</v>
      </c>
      <c r="D21" s="20">
        <v>0.52</v>
      </c>
      <c r="E21" s="5">
        <f>C21*D21</f>
        <v>5522.4000000000005</v>
      </c>
      <c r="F21" s="6"/>
    </row>
    <row r="22" spans="1:17" x14ac:dyDescent="0.25">
      <c r="A22" s="1"/>
      <c r="B22" s="8" t="s">
        <v>22</v>
      </c>
      <c r="C22" s="9">
        <v>24000</v>
      </c>
      <c r="D22" s="20">
        <v>0.06</v>
      </c>
      <c r="E22" s="18">
        <f>C22*D22</f>
        <v>1440</v>
      </c>
      <c r="F22" s="6"/>
    </row>
    <row r="23" spans="1:17" x14ac:dyDescent="0.25">
      <c r="A23" s="25"/>
      <c r="B23" s="21"/>
      <c r="C23" s="22"/>
      <c r="D23" s="23"/>
      <c r="E23" s="18"/>
      <c r="F23" s="6"/>
    </row>
    <row r="24" spans="1:17" x14ac:dyDescent="0.25">
      <c r="A24" s="21" t="s">
        <v>23</v>
      </c>
      <c r="B24" s="21" t="s">
        <v>24</v>
      </c>
      <c r="C24" s="22">
        <v>50</v>
      </c>
      <c r="D24" s="23">
        <v>1</v>
      </c>
      <c r="E24" s="5">
        <f t="shared" si="0"/>
        <v>50</v>
      </c>
      <c r="F24" s="6"/>
    </row>
    <row r="25" spans="1:17" s="28" customFormat="1" x14ac:dyDescent="0.25">
      <c r="A25" s="8"/>
      <c r="B25" s="8" t="s">
        <v>36</v>
      </c>
      <c r="C25" s="9">
        <v>50</v>
      </c>
      <c r="D25" s="20">
        <v>1.2</v>
      </c>
      <c r="E25" s="26">
        <f t="shared" ref="E25:E30" si="1">C25*D25</f>
        <v>60</v>
      </c>
      <c r="F25" s="27"/>
      <c r="G25" s="27"/>
      <c r="H25" s="27"/>
      <c r="I25" s="27"/>
      <c r="J25"/>
      <c r="K25"/>
      <c r="L25"/>
      <c r="M25"/>
      <c r="N25"/>
      <c r="O25"/>
      <c r="P25"/>
      <c r="Q25"/>
    </row>
    <row r="26" spans="1:17" x14ac:dyDescent="0.25">
      <c r="A26" s="29" t="s">
        <v>25</v>
      </c>
      <c r="B26" s="8" t="s">
        <v>26</v>
      </c>
      <c r="C26" s="9">
        <v>33</v>
      </c>
      <c r="D26" s="20">
        <v>3</v>
      </c>
      <c r="E26" s="5">
        <f t="shared" si="1"/>
        <v>99</v>
      </c>
    </row>
    <row r="27" spans="1:17" x14ac:dyDescent="0.25">
      <c r="A27" s="1"/>
      <c r="B27" s="21" t="s">
        <v>27</v>
      </c>
      <c r="C27" s="22">
        <v>10</v>
      </c>
      <c r="D27" s="23">
        <v>3</v>
      </c>
      <c r="E27" s="24">
        <f t="shared" si="1"/>
        <v>30</v>
      </c>
      <c r="F27" s="30"/>
    </row>
    <row r="28" spans="1:17" x14ac:dyDescent="0.25">
      <c r="A28" s="1"/>
      <c r="B28" s="8" t="s">
        <v>28</v>
      </c>
      <c r="C28" s="9">
        <v>75</v>
      </c>
      <c r="D28" s="20">
        <v>2.4</v>
      </c>
      <c r="E28" s="5">
        <f t="shared" si="1"/>
        <v>180</v>
      </c>
      <c r="F28" s="30"/>
    </row>
    <row r="29" spans="1:17" x14ac:dyDescent="0.25">
      <c r="A29" s="1"/>
      <c r="B29" s="29" t="s">
        <v>29</v>
      </c>
      <c r="C29" s="31">
        <v>0</v>
      </c>
      <c r="D29" s="32">
        <v>2.6</v>
      </c>
      <c r="E29" s="5">
        <f t="shared" si="1"/>
        <v>0</v>
      </c>
      <c r="F29" s="30"/>
    </row>
    <row r="30" spans="1:17" x14ac:dyDescent="0.25">
      <c r="A30" s="48"/>
      <c r="B30" s="49" t="s">
        <v>37</v>
      </c>
      <c r="C30" s="31">
        <v>25</v>
      </c>
      <c r="D30" s="32">
        <v>3.2</v>
      </c>
      <c r="E30" s="50">
        <f t="shared" si="1"/>
        <v>80</v>
      </c>
      <c r="F30" s="30"/>
    </row>
    <row r="31" spans="1:17" ht="15.75" thickBot="1" x14ac:dyDescent="0.3">
      <c r="A31" s="33"/>
      <c r="B31" s="34" t="s">
        <v>30</v>
      </c>
      <c r="C31" s="35"/>
      <c r="D31" s="36"/>
      <c r="E31" s="37">
        <f>SUM(E5:E30)</f>
        <v>36018.630000000005</v>
      </c>
      <c r="F31" s="6"/>
    </row>
    <row r="32" spans="1:17" x14ac:dyDescent="0.25">
      <c r="A32" s="6"/>
      <c r="B32" s="38"/>
      <c r="C32" s="39"/>
      <c r="D32" s="40"/>
      <c r="E32" s="6"/>
      <c r="F32" s="6"/>
    </row>
    <row r="33" spans="1:7" x14ac:dyDescent="0.25">
      <c r="A33" s="6"/>
      <c r="B33" s="6" t="s">
        <v>31</v>
      </c>
      <c r="C33" s="39">
        <v>980</v>
      </c>
      <c r="D33" s="41">
        <v>0.52</v>
      </c>
      <c r="E33" s="6">
        <f>C33*D33</f>
        <v>509.6</v>
      </c>
      <c r="F33" s="6"/>
    </row>
    <row r="34" spans="1:7" ht="15.75" thickBot="1" x14ac:dyDescent="0.3">
      <c r="A34" s="6"/>
      <c r="B34" s="6" t="s">
        <v>32</v>
      </c>
      <c r="C34" s="39">
        <v>134</v>
      </c>
      <c r="D34" s="41">
        <v>8</v>
      </c>
      <c r="E34" s="6">
        <f>C34*D34</f>
        <v>1072</v>
      </c>
      <c r="F34" s="6"/>
      <c r="G34">
        <f>134+162-2066</f>
        <v>-1770</v>
      </c>
    </row>
    <row r="35" spans="1:7" ht="15.75" thickBot="1" x14ac:dyDescent="0.3">
      <c r="A35" s="6"/>
      <c r="B35" s="42" t="s">
        <v>33</v>
      </c>
      <c r="C35" s="43"/>
      <c r="D35" s="44"/>
      <c r="E35" s="45">
        <f>SUM(E33:E34)</f>
        <v>1581.6</v>
      </c>
      <c r="F35" s="6"/>
    </row>
    <row r="36" spans="1:7" x14ac:dyDescent="0.25">
      <c r="A36" s="6"/>
      <c r="B36" s="6"/>
      <c r="C36" s="46"/>
      <c r="D36" s="41"/>
      <c r="E36" s="6"/>
      <c r="F36" s="6"/>
    </row>
  </sheetData>
  <pageMargins left="0.7" right="0.7" top="0.75" bottom="0.75" header="0.3" footer="0.3"/>
  <pageSetup scale="7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2026-04-03T10:30:22Z</cp:lastPrinted>
  <dcterms:created xsi:type="dcterms:W3CDTF">2026-03-23T09:28:55Z</dcterms:created>
  <dcterms:modified xsi:type="dcterms:W3CDTF">2026-05-13T08:56:45Z</dcterms:modified>
</cp:coreProperties>
</file>