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6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9" i="1" l="1"/>
  <c r="H38" i="1"/>
  <c r="H37" i="1"/>
  <c r="H7" i="1" l="1"/>
  <c r="H8" i="1"/>
  <c r="H9" i="1"/>
  <c r="H10" i="1"/>
  <c r="H11" i="1"/>
  <c r="H12" i="1"/>
  <c r="H35" i="1" s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6" i="1"/>
  <c r="H6" i="1"/>
</calcChain>
</file>

<file path=xl/sharedStrings.xml><?xml version="1.0" encoding="utf-8"?>
<sst xmlns="http://schemas.openxmlformats.org/spreadsheetml/2006/main" count="43" uniqueCount="39">
  <si>
    <t xml:space="preserve">PUNGWE BREWERIES AND  MARKETING </t>
  </si>
  <si>
    <t xml:space="preserve">ITEM </t>
  </si>
  <si>
    <t xml:space="preserve">QUANTITY </t>
  </si>
  <si>
    <t>COST PER UNIT</t>
  </si>
  <si>
    <t xml:space="preserve">INVENTORY </t>
  </si>
  <si>
    <t xml:space="preserve">RAW MATERIALS </t>
  </si>
  <si>
    <t>YEAST{ kgs}</t>
  </si>
  <si>
    <t xml:space="preserve">LACTIC ACID (kgs ) </t>
  </si>
  <si>
    <t>SORGHUM MALT { kgs }</t>
  </si>
  <si>
    <t xml:space="preserve">SUGAR kgs  </t>
  </si>
  <si>
    <t>MAIZE MEAL {kgs}</t>
  </si>
  <si>
    <t xml:space="preserve">COAL </t>
  </si>
  <si>
    <t xml:space="preserve">DIESEL FOR  GENERATOR </t>
  </si>
  <si>
    <t xml:space="preserve">FIREWOOD </t>
  </si>
  <si>
    <t>TOTAL</t>
  </si>
  <si>
    <t xml:space="preserve">FINISHED GOODS </t>
  </si>
  <si>
    <t xml:space="preserve">BULK BEER ltr </t>
  </si>
  <si>
    <t xml:space="preserve">2L PACKAGED BEER </t>
  </si>
  <si>
    <r>
      <rPr>
        <b/>
        <sz val="11"/>
        <color theme="1"/>
        <rFont val="Calibri"/>
        <family val="2"/>
        <scheme val="minor"/>
      </rPr>
      <t>PACKAGING MATERIALS</t>
    </r>
    <r>
      <rPr>
        <sz val="11"/>
        <color theme="1"/>
        <rFont val="Calibri"/>
        <family val="2"/>
        <scheme val="minor"/>
      </rPr>
      <t xml:space="preserve"> </t>
    </r>
  </si>
  <si>
    <t xml:space="preserve">LOOSE BOTTLES </t>
  </si>
  <si>
    <t xml:space="preserve">SHAKE-SHAKE  CLOSURES </t>
  </si>
  <si>
    <t xml:space="preserve">SHAKE-SHAKE SLEEVES </t>
  </si>
  <si>
    <t xml:space="preserve">CRATES IN CIRCULATION </t>
  </si>
  <si>
    <t xml:space="preserve">BOTTLES IN CIRCULATION </t>
  </si>
  <si>
    <t xml:space="preserve">CLOSURES (unit) </t>
  </si>
  <si>
    <r>
      <rPr>
        <b/>
        <sz val="11"/>
        <color theme="1"/>
        <rFont val="Calibri"/>
        <family val="2"/>
        <scheme val="minor"/>
      </rPr>
      <t>BOILER MATERIALS</t>
    </r>
    <r>
      <rPr>
        <sz val="11"/>
        <color theme="1"/>
        <rFont val="Calibri"/>
        <family val="2"/>
        <scheme val="minor"/>
      </rPr>
      <t xml:space="preserve"> </t>
    </r>
  </si>
  <si>
    <t xml:space="preserve">SAFIER SET (kgs ) </t>
  </si>
  <si>
    <t xml:space="preserve">REDCAST </t>
  </si>
  <si>
    <r>
      <rPr>
        <b/>
        <sz val="11"/>
        <color theme="1"/>
        <rFont val="Calibri"/>
        <family val="2"/>
        <scheme val="minor"/>
      </rPr>
      <t>CLEANING MATERIALS</t>
    </r>
    <r>
      <rPr>
        <sz val="11"/>
        <color theme="1"/>
        <rFont val="Calibri"/>
        <family val="2"/>
        <scheme val="minor"/>
      </rPr>
      <t xml:space="preserve"> </t>
    </r>
  </si>
  <si>
    <t>BIOCHEMELL (ltrs)</t>
  </si>
  <si>
    <t>CHEMELL 160(ltrs)</t>
  </si>
  <si>
    <t xml:space="preserve">BACTERGENT (kgs ) </t>
  </si>
  <si>
    <t>FLOOR CLEANER( kgs )</t>
  </si>
  <si>
    <t xml:space="preserve">ONLINE DESCALENT </t>
  </si>
  <si>
    <t xml:space="preserve">DAMAGED BOTTLES </t>
  </si>
  <si>
    <t>DAMAGED CRATES</t>
  </si>
  <si>
    <t xml:space="preserve">TOTAL </t>
  </si>
  <si>
    <t>TOTALS</t>
  </si>
  <si>
    <t xml:space="preserve">AUGUST  2026 END OF MONTH  STOCK  SUMMARY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</si>
</sst>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Arial Rounded MT Bold"/>
      <family val="2"/>
    </font>
    <font>
      <sz val="11"/>
      <color theme="1"/>
      <name val="Bahnschrift SemiCondensed"/>
      <family val="2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1" fillId="0" borderId="1" xfId="0" applyFont="1" applyBorder="1"/>
    <xf numFmtId="0" fontId="0" fillId="0" borderId="3" xfId="0" applyBorder="1"/>
    <xf numFmtId="0" fontId="1" fillId="0" borderId="4" xfId="0" applyFont="1" applyBorder="1"/>
    <xf numFmtId="0" fontId="0" fillId="0" borderId="4" xfId="0" applyBorder="1"/>
    <xf numFmtId="164" fontId="0" fillId="0" borderId="1" xfId="0" applyNumberFormat="1" applyBorder="1"/>
    <xf numFmtId="164" fontId="4" fillId="0" borderId="1" xfId="0" applyNumberFormat="1" applyFont="1" applyBorder="1"/>
    <xf numFmtId="164" fontId="1" fillId="0" borderId="1" xfId="0" applyNumberFormat="1" applyFont="1" applyBorder="1"/>
    <xf numFmtId="164" fontId="0" fillId="0" borderId="0" xfId="0" applyNumberFormat="1"/>
    <xf numFmtId="164" fontId="2" fillId="0" borderId="1" xfId="0" applyNumberFormat="1" applyFont="1" applyBorder="1"/>
    <xf numFmtId="164" fontId="4" fillId="0" borderId="2" xfId="0" applyNumberFormat="1" applyFont="1" applyBorder="1"/>
    <xf numFmtId="164" fontId="1" fillId="0" borderId="2" xfId="0" applyNumberFormat="1" applyFont="1" applyBorder="1"/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H41"/>
  <sheetViews>
    <sheetView tabSelected="1" topLeftCell="B22" workbookViewId="0">
      <selection activeCell="K38" sqref="K38"/>
    </sheetView>
  </sheetViews>
  <sheetFormatPr defaultRowHeight="14.5" x14ac:dyDescent="0.35"/>
  <cols>
    <col min="4" max="4" width="20.54296875" customWidth="1"/>
    <col min="5" max="5" width="21.7265625" customWidth="1"/>
    <col min="6" max="6" width="22.54296875" customWidth="1"/>
    <col min="7" max="7" width="26.453125" style="12" customWidth="1"/>
    <col min="8" max="8" width="37.1796875" style="12" customWidth="1"/>
  </cols>
  <sheetData>
    <row r="2" spans="4:8" ht="17.5" x14ac:dyDescent="0.35">
      <c r="D2" s="1"/>
      <c r="E2" s="2" t="s">
        <v>0</v>
      </c>
      <c r="F2" s="2"/>
      <c r="G2" s="13"/>
      <c r="H2" s="9"/>
    </row>
    <row r="3" spans="4:8" x14ac:dyDescent="0.35">
      <c r="D3" s="1"/>
      <c r="E3" s="1"/>
      <c r="F3" s="1"/>
      <c r="G3" s="9"/>
      <c r="H3" s="9"/>
    </row>
    <row r="4" spans="4:8" x14ac:dyDescent="0.35">
      <c r="D4" s="1"/>
      <c r="E4" s="3" t="s">
        <v>38</v>
      </c>
      <c r="F4" s="1"/>
      <c r="G4" s="9"/>
      <c r="H4" s="9"/>
    </row>
    <row r="5" spans="4:8" x14ac:dyDescent="0.35">
      <c r="D5" s="4"/>
      <c r="E5" s="4" t="s">
        <v>1</v>
      </c>
      <c r="F5" s="4" t="s">
        <v>2</v>
      </c>
      <c r="G5" s="14" t="s">
        <v>3</v>
      </c>
      <c r="H5" s="10" t="s">
        <v>4</v>
      </c>
    </row>
    <row r="6" spans="4:8" x14ac:dyDescent="0.35">
      <c r="D6" s="5" t="s">
        <v>5</v>
      </c>
      <c r="E6" s="5" t="s">
        <v>6</v>
      </c>
      <c r="F6" s="5">
        <v>6</v>
      </c>
      <c r="G6" s="15">
        <v>7.6660000000000004</v>
      </c>
      <c r="H6" s="11">
        <f>G6*F6</f>
        <v>45.996000000000002</v>
      </c>
    </row>
    <row r="7" spans="4:8" x14ac:dyDescent="0.35">
      <c r="D7" s="1"/>
      <c r="E7" s="5" t="s">
        <v>7</v>
      </c>
      <c r="F7" s="5">
        <v>31</v>
      </c>
      <c r="G7" s="15">
        <v>3.71</v>
      </c>
      <c r="H7" s="11">
        <f t="shared" ref="H7:H36" si="0">G7*F7</f>
        <v>115.01</v>
      </c>
    </row>
    <row r="8" spans="4:8" x14ac:dyDescent="0.35">
      <c r="D8" s="1"/>
      <c r="E8" s="5" t="s">
        <v>8</v>
      </c>
      <c r="F8" s="5">
        <v>860</v>
      </c>
      <c r="G8" s="15">
        <v>1.26</v>
      </c>
      <c r="H8" s="11">
        <f t="shared" si="0"/>
        <v>1083.5999999999999</v>
      </c>
    </row>
    <row r="9" spans="4:8" x14ac:dyDescent="0.35">
      <c r="D9" s="1"/>
      <c r="E9" s="5" t="s">
        <v>9</v>
      </c>
      <c r="F9" s="5">
        <v>40</v>
      </c>
      <c r="G9" s="15">
        <v>1.26</v>
      </c>
      <c r="H9" s="11">
        <f t="shared" si="0"/>
        <v>50.4</v>
      </c>
    </row>
    <row r="10" spans="4:8" x14ac:dyDescent="0.35">
      <c r="D10" s="1"/>
      <c r="E10" s="5" t="s">
        <v>10</v>
      </c>
      <c r="F10" s="5">
        <v>7380.6</v>
      </c>
      <c r="G10" s="15">
        <v>0.35</v>
      </c>
      <c r="H10" s="11">
        <f t="shared" si="0"/>
        <v>2583.21</v>
      </c>
    </row>
    <row r="11" spans="4:8" x14ac:dyDescent="0.35">
      <c r="D11" s="1"/>
      <c r="E11" s="5" t="s">
        <v>11</v>
      </c>
      <c r="F11" s="5">
        <v>10340</v>
      </c>
      <c r="G11" s="15">
        <v>0.14000000000000001</v>
      </c>
      <c r="H11" s="11">
        <f t="shared" si="0"/>
        <v>1447.6000000000001</v>
      </c>
    </row>
    <row r="12" spans="4:8" x14ac:dyDescent="0.35">
      <c r="D12" s="1"/>
      <c r="E12" s="5" t="s">
        <v>12</v>
      </c>
      <c r="F12" s="5">
        <v>80</v>
      </c>
      <c r="G12" s="15">
        <v>1.85</v>
      </c>
      <c r="H12" s="11">
        <f t="shared" si="0"/>
        <v>148</v>
      </c>
    </row>
    <row r="13" spans="4:8" x14ac:dyDescent="0.35">
      <c r="D13" s="1"/>
      <c r="E13" s="5" t="s">
        <v>13</v>
      </c>
      <c r="F13" s="5">
        <v>5000</v>
      </c>
      <c r="G13" s="15">
        <v>0.05</v>
      </c>
      <c r="H13" s="11">
        <f t="shared" si="0"/>
        <v>250</v>
      </c>
    </row>
    <row r="14" spans="4:8" x14ac:dyDescent="0.35">
      <c r="D14" s="1"/>
      <c r="E14" s="5" t="s">
        <v>14</v>
      </c>
      <c r="F14" s="5"/>
      <c r="G14" s="15"/>
      <c r="H14" s="11">
        <f t="shared" si="0"/>
        <v>0</v>
      </c>
    </row>
    <row r="15" spans="4:8" x14ac:dyDescent="0.35">
      <c r="D15" s="1"/>
      <c r="E15" s="5"/>
      <c r="F15" s="5"/>
      <c r="G15" s="15"/>
      <c r="H15" s="11">
        <f t="shared" si="0"/>
        <v>0</v>
      </c>
    </row>
    <row r="16" spans="4:8" x14ac:dyDescent="0.35">
      <c r="D16" s="5" t="s">
        <v>15</v>
      </c>
      <c r="E16" s="5" t="s">
        <v>16</v>
      </c>
      <c r="F16" s="5">
        <v>3369</v>
      </c>
      <c r="G16" s="15">
        <v>0.15</v>
      </c>
      <c r="H16" s="11">
        <f t="shared" si="0"/>
        <v>505.34999999999997</v>
      </c>
    </row>
    <row r="17" spans="4:8" x14ac:dyDescent="0.35">
      <c r="D17" s="1"/>
      <c r="E17" s="5" t="s">
        <v>17</v>
      </c>
      <c r="F17" s="5">
        <v>992</v>
      </c>
      <c r="G17" s="15">
        <v>3.8</v>
      </c>
      <c r="H17" s="11">
        <f t="shared" si="0"/>
        <v>3769.6</v>
      </c>
    </row>
    <row r="18" spans="4:8" x14ac:dyDescent="0.35">
      <c r="D18" s="1"/>
      <c r="E18" s="5" t="s">
        <v>14</v>
      </c>
      <c r="F18" s="5"/>
      <c r="G18" s="15"/>
      <c r="H18" s="11">
        <f t="shared" si="0"/>
        <v>0</v>
      </c>
    </row>
    <row r="19" spans="4:8" x14ac:dyDescent="0.35">
      <c r="D19" s="1"/>
      <c r="E19" s="5"/>
      <c r="F19" s="5"/>
      <c r="G19" s="15"/>
      <c r="H19" s="11">
        <f t="shared" si="0"/>
        <v>0</v>
      </c>
    </row>
    <row r="20" spans="4:8" x14ac:dyDescent="0.35">
      <c r="D20" s="1" t="s">
        <v>18</v>
      </c>
      <c r="E20" s="5" t="s">
        <v>19</v>
      </c>
      <c r="F20" s="5">
        <v>450</v>
      </c>
      <c r="G20" s="15">
        <v>0.56999999999999995</v>
      </c>
      <c r="H20" s="11">
        <f t="shared" si="0"/>
        <v>256.5</v>
      </c>
    </row>
    <row r="21" spans="4:8" x14ac:dyDescent="0.35">
      <c r="D21" s="1"/>
      <c r="E21" s="5" t="s">
        <v>20</v>
      </c>
      <c r="F21" s="5">
        <v>0</v>
      </c>
      <c r="G21" s="15">
        <v>0.52</v>
      </c>
      <c r="H21" s="11">
        <f t="shared" si="0"/>
        <v>0</v>
      </c>
    </row>
    <row r="22" spans="4:8" x14ac:dyDescent="0.35">
      <c r="D22" s="1"/>
      <c r="E22" s="5" t="s">
        <v>21</v>
      </c>
      <c r="F22" s="5">
        <v>10150</v>
      </c>
      <c r="G22" s="15">
        <v>0.15</v>
      </c>
      <c r="H22" s="11">
        <f t="shared" si="0"/>
        <v>1522.5</v>
      </c>
    </row>
    <row r="23" spans="4:8" x14ac:dyDescent="0.35">
      <c r="D23" s="1"/>
      <c r="E23" s="5" t="s">
        <v>22</v>
      </c>
      <c r="F23" s="5">
        <v>1980</v>
      </c>
      <c r="G23" s="15">
        <v>7.55</v>
      </c>
      <c r="H23" s="11">
        <f t="shared" si="0"/>
        <v>14949</v>
      </c>
    </row>
    <row r="24" spans="4:8" x14ac:dyDescent="0.35">
      <c r="D24" s="1"/>
      <c r="E24" s="5" t="s">
        <v>23</v>
      </c>
      <c r="F24" s="5">
        <v>11880</v>
      </c>
      <c r="G24" s="15">
        <v>0.56999999999999995</v>
      </c>
      <c r="H24" s="11">
        <f t="shared" si="0"/>
        <v>6771.5999999999995</v>
      </c>
    </row>
    <row r="25" spans="4:8" x14ac:dyDescent="0.35">
      <c r="D25" s="1"/>
      <c r="E25" s="5" t="s">
        <v>24</v>
      </c>
      <c r="F25" s="5">
        <v>26000</v>
      </c>
      <c r="G25" s="15">
        <v>0.06</v>
      </c>
      <c r="H25" s="11">
        <f t="shared" si="0"/>
        <v>1560</v>
      </c>
    </row>
    <row r="26" spans="4:8" x14ac:dyDescent="0.35">
      <c r="D26" s="1"/>
      <c r="E26" s="5" t="s">
        <v>14</v>
      </c>
      <c r="F26" s="5"/>
      <c r="G26" s="15"/>
      <c r="H26" s="11">
        <f t="shared" si="0"/>
        <v>0</v>
      </c>
    </row>
    <row r="27" spans="4:8" x14ac:dyDescent="0.35">
      <c r="D27" s="1"/>
      <c r="E27" s="5"/>
      <c r="F27" s="5"/>
      <c r="G27" s="15"/>
      <c r="H27" s="11">
        <f t="shared" si="0"/>
        <v>0</v>
      </c>
    </row>
    <row r="28" spans="4:8" x14ac:dyDescent="0.35">
      <c r="D28" s="1" t="s">
        <v>25</v>
      </c>
      <c r="E28" s="5" t="s">
        <v>26</v>
      </c>
      <c r="F28" s="5">
        <v>0</v>
      </c>
      <c r="G28" s="15">
        <v>1</v>
      </c>
      <c r="H28" s="11">
        <f t="shared" si="0"/>
        <v>0</v>
      </c>
    </row>
    <row r="29" spans="4:8" x14ac:dyDescent="0.35">
      <c r="D29" s="1"/>
      <c r="E29" s="5" t="s">
        <v>27</v>
      </c>
      <c r="F29" s="5">
        <v>12</v>
      </c>
      <c r="G29" s="15">
        <v>1.2</v>
      </c>
      <c r="H29" s="11">
        <f t="shared" si="0"/>
        <v>14.399999999999999</v>
      </c>
    </row>
    <row r="30" spans="4:8" x14ac:dyDescent="0.35">
      <c r="D30" s="1" t="s">
        <v>28</v>
      </c>
      <c r="E30" s="5" t="s">
        <v>29</v>
      </c>
      <c r="F30" s="5">
        <v>30</v>
      </c>
      <c r="G30" s="15">
        <v>3</v>
      </c>
      <c r="H30" s="11">
        <f t="shared" si="0"/>
        <v>90</v>
      </c>
    </row>
    <row r="31" spans="4:8" x14ac:dyDescent="0.35">
      <c r="D31" s="1"/>
      <c r="E31" s="5" t="s">
        <v>30</v>
      </c>
      <c r="F31" s="5">
        <v>12</v>
      </c>
      <c r="G31" s="15">
        <v>3</v>
      </c>
      <c r="H31" s="11">
        <f t="shared" si="0"/>
        <v>36</v>
      </c>
    </row>
    <row r="32" spans="4:8" x14ac:dyDescent="0.35">
      <c r="D32" s="1"/>
      <c r="E32" s="5" t="s">
        <v>31</v>
      </c>
      <c r="F32" s="5">
        <v>50</v>
      </c>
      <c r="G32" s="15">
        <v>2.4</v>
      </c>
      <c r="H32" s="11">
        <f t="shared" si="0"/>
        <v>120</v>
      </c>
    </row>
    <row r="33" spans="4:8" x14ac:dyDescent="0.35">
      <c r="D33" s="1"/>
      <c r="E33" s="5" t="s">
        <v>32</v>
      </c>
      <c r="F33" s="5">
        <v>50</v>
      </c>
      <c r="G33" s="15">
        <v>2.6</v>
      </c>
      <c r="H33" s="11">
        <f t="shared" si="0"/>
        <v>130</v>
      </c>
    </row>
    <row r="34" spans="4:8" x14ac:dyDescent="0.35">
      <c r="D34" s="1"/>
      <c r="E34" s="5" t="s">
        <v>33</v>
      </c>
      <c r="F34" s="5">
        <v>12</v>
      </c>
      <c r="G34" s="15">
        <v>3.2</v>
      </c>
      <c r="H34" s="11">
        <f t="shared" si="0"/>
        <v>38.400000000000006</v>
      </c>
    </row>
    <row r="35" spans="4:8" x14ac:dyDescent="0.35">
      <c r="D35" s="1"/>
      <c r="E35" s="5" t="s">
        <v>14</v>
      </c>
      <c r="F35" s="5"/>
      <c r="G35" s="15"/>
      <c r="H35" s="11">
        <f>SUM(H6:H34)</f>
        <v>35487.166000000005</v>
      </c>
    </row>
    <row r="36" spans="4:8" x14ac:dyDescent="0.35">
      <c r="D36" s="1"/>
      <c r="E36" s="5" t="s">
        <v>14</v>
      </c>
      <c r="F36" s="5"/>
      <c r="G36" s="15"/>
      <c r="H36" s="11">
        <f t="shared" si="0"/>
        <v>0</v>
      </c>
    </row>
    <row r="37" spans="4:8" x14ac:dyDescent="0.35">
      <c r="D37" s="1"/>
      <c r="E37" s="5" t="s">
        <v>34</v>
      </c>
      <c r="F37" s="5">
        <v>900</v>
      </c>
      <c r="G37" s="15">
        <v>0.52</v>
      </c>
      <c r="H37" s="12">
        <f>F37*G37</f>
        <v>468</v>
      </c>
    </row>
    <row r="38" spans="4:8" x14ac:dyDescent="0.35">
      <c r="D38" s="1"/>
      <c r="E38" s="5" t="s">
        <v>35</v>
      </c>
      <c r="F38" s="5">
        <v>40</v>
      </c>
      <c r="G38" s="15">
        <v>8</v>
      </c>
      <c r="H38" s="12">
        <f>F38*G38</f>
        <v>320</v>
      </c>
    </row>
    <row r="39" spans="4:8" x14ac:dyDescent="0.35">
      <c r="D39" s="6"/>
      <c r="E39" s="5" t="s">
        <v>36</v>
      </c>
      <c r="F39" s="1"/>
      <c r="G39" s="16"/>
      <c r="H39" s="11">
        <f>SUM(H37:H38)</f>
        <v>788</v>
      </c>
    </row>
    <row r="40" spans="4:8" x14ac:dyDescent="0.35">
      <c r="E40" s="7" t="s">
        <v>37</v>
      </c>
      <c r="F40" s="1"/>
      <c r="G40" s="16"/>
      <c r="H40" s="11"/>
    </row>
    <row r="41" spans="4:8" x14ac:dyDescent="0.35">
      <c r="E41" s="8"/>
      <c r="F41" s="1"/>
      <c r="G41" s="16"/>
      <c r="H4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Tendai Mushonga</dc:creator>
  <cp:lastModifiedBy>hp</cp:lastModifiedBy>
  <dcterms:created xsi:type="dcterms:W3CDTF">2026-09-02T09:41:09Z</dcterms:created>
  <dcterms:modified xsi:type="dcterms:W3CDTF">2026-09-30T07:39:01Z</dcterms:modified>
</cp:coreProperties>
</file>